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a/Documents/coding_projects/ww_methane_letter/02_clean_data/"/>
    </mc:Choice>
  </mc:AlternateContent>
  <xr:revisionPtr revIDLastSave="0" documentId="13_ncr:1_{D8CF3819-77B3-B746-956B-8D9231326C31}" xr6:coauthVersionLast="47" xr6:coauthVersionMax="47" xr10:uidLastSave="{00000000-0000-0000-0000-000000000000}"/>
  <bookViews>
    <workbookView xWindow="-47020" yWindow="3200" windowWidth="35680" windowHeight="22280" xr2:uid="{FF9E0208-DC04-0C4D-BAC0-966A929C6D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<sst xmlns="http://schemas.openxmlformats.org/spreadsheetml/2006/main" count="180" uniqueCount="120">
  <si>
    <t>location</t>
  </si>
  <si>
    <t>utility_name</t>
  </si>
  <si>
    <t>facility_name</t>
  </si>
  <si>
    <t>influent_2012_MG</t>
  </si>
  <si>
    <t>facility_size_MGD</t>
  </si>
  <si>
    <t>biogas_gen_value</t>
  </si>
  <si>
    <t>biogas_gen_units</t>
  </si>
  <si>
    <t>flow_m3_per_day</t>
  </si>
  <si>
    <t>biogas_gen_scf</t>
  </si>
  <si>
    <t>methane_gen_kgh</t>
  </si>
  <si>
    <t>AlexandriaVA</t>
  </si>
  <si>
    <t>Alexandria Sewer</t>
  </si>
  <si>
    <t>Not listed</t>
  </si>
  <si>
    <t>MSCF</t>
  </si>
  <si>
    <t>BakersfieldCA</t>
  </si>
  <si>
    <t>Plant 2 - name not listed</t>
  </si>
  <si>
    <t>scf</t>
  </si>
  <si>
    <t>BoiseID</t>
  </si>
  <si>
    <t>City of Boise</t>
  </si>
  <si>
    <t>West Boise</t>
  </si>
  <si>
    <t>Lander St</t>
  </si>
  <si>
    <t>BuffaloNY</t>
  </si>
  <si>
    <t>Buffalo Sewer Authority</t>
  </si>
  <si>
    <t>ChicagoIL</t>
  </si>
  <si>
    <t>Metropolitan Water Reclamation District of Greater Chicago</t>
  </si>
  <si>
    <t>Hanover</t>
  </si>
  <si>
    <t>therms</t>
  </si>
  <si>
    <t>Egan</t>
  </si>
  <si>
    <t>DenverCO</t>
  </si>
  <si>
    <t>Metro Wastewater Reclamation District</t>
  </si>
  <si>
    <t>R.W. Hite Facility</t>
  </si>
  <si>
    <t>DuluthMN</t>
  </si>
  <si>
    <t>Western Lake Superior Sanitary District</t>
  </si>
  <si>
    <t>Western Lake Superior Sanitary District Wastewater Treatment Facility</t>
  </si>
  <si>
    <t>ElPasoTX</t>
  </si>
  <si>
    <t>El Paso Water Utilities</t>
  </si>
  <si>
    <t>RBWWTP</t>
  </si>
  <si>
    <t>HSWWTP</t>
  </si>
  <si>
    <t>FHWRP</t>
  </si>
  <si>
    <t>EugeneOR</t>
  </si>
  <si>
    <t>Eugene Water &amp; Electric Board</t>
  </si>
  <si>
    <t>Water Pollution Control Facility</t>
  </si>
  <si>
    <t>FargoND</t>
  </si>
  <si>
    <t>City of Fargo Water Reclamation</t>
  </si>
  <si>
    <t>Fargo Regional Wastewater Reclamation Facility</t>
  </si>
  <si>
    <t>FortWorthTX</t>
  </si>
  <si>
    <t>Forth Worth Water Department</t>
  </si>
  <si>
    <t>Villlage Creek Water Reclamation Facility</t>
  </si>
  <si>
    <t>GreenvilleSC</t>
  </si>
  <si>
    <t>Greenville Water</t>
  </si>
  <si>
    <t>Durbin WWTP</t>
  </si>
  <si>
    <t>Gilder WWTP</t>
  </si>
  <si>
    <t>Lower Reedy WWTP</t>
  </si>
  <si>
    <t>LasVegasNV</t>
  </si>
  <si>
    <t>LVVWD</t>
  </si>
  <si>
    <t>Bonanza/Mojave Water Resource Center</t>
  </si>
  <si>
    <t>LincolnNE</t>
  </si>
  <si>
    <t>Lincoln Wastewater System</t>
  </si>
  <si>
    <t>Theresa Street WWTF</t>
  </si>
  <si>
    <t>Northeast WWTF</t>
  </si>
  <si>
    <t>LouisvilleKY</t>
  </si>
  <si>
    <t>Louisville Water Company</t>
  </si>
  <si>
    <t>Morris Forman WWTP</t>
  </si>
  <si>
    <t>MadisonWI</t>
  </si>
  <si>
    <t>Madison Metropolitan Sewage District</t>
  </si>
  <si>
    <t>Nine Springs Wastewater Treatment PLant</t>
  </si>
  <si>
    <t>Madison Metropolitan Sewerage District</t>
  </si>
  <si>
    <t>Nine Springs Wastewater Treatment Plant</t>
  </si>
  <si>
    <t>MMSCF</t>
  </si>
  <si>
    <t>MemphisTN</t>
  </si>
  <si>
    <t>Memphis Light, Gas, and Water</t>
  </si>
  <si>
    <t>MC Stiles WWTP</t>
  </si>
  <si>
    <t>MilwaukeeWI</t>
  </si>
  <si>
    <t>Milwaukee Metropolitan Sewerage District</t>
  </si>
  <si>
    <t>South Shore WRF</t>
  </si>
  <si>
    <t>DTherms</t>
  </si>
  <si>
    <t>OmahaNE</t>
  </si>
  <si>
    <t>Metropolitan Utilities District</t>
  </si>
  <si>
    <t>Papillion Creek WWTP</t>
  </si>
  <si>
    <t>PeoriaIL</t>
  </si>
  <si>
    <t>Greater Peoria Sanitary and Sewage Disposal District</t>
  </si>
  <si>
    <t>Beardsley Water Reclamation Facility</t>
  </si>
  <si>
    <t>ProvoUT</t>
  </si>
  <si>
    <t>Not reported</t>
  </si>
  <si>
    <t>RenoNV</t>
  </si>
  <si>
    <t>Public Works Department</t>
  </si>
  <si>
    <t>TMWRF</t>
  </si>
  <si>
    <t>SacramentoCA</t>
  </si>
  <si>
    <t>Sacramento Regional Wastewater Treatment Plant</t>
  </si>
  <si>
    <t>scfm</t>
  </si>
  <si>
    <t>SaltLakeCityUT</t>
  </si>
  <si>
    <t>Salt Lake City Corporation</t>
  </si>
  <si>
    <t>Salt Lake City Water Reclamation Plant</t>
  </si>
  <si>
    <t>SanDiegoCA</t>
  </si>
  <si>
    <t>San Diego Public Utilities</t>
  </si>
  <si>
    <t>Point Loma Wastewater Treatment Plant</t>
  </si>
  <si>
    <t>SanJoseCA</t>
  </si>
  <si>
    <t>San Jose water co</t>
  </si>
  <si>
    <t>could not find</t>
  </si>
  <si>
    <t>SantaFeNM</t>
  </si>
  <si>
    <t>Wastewater Management Division</t>
  </si>
  <si>
    <t>Santa Fe Wastewater Treatment Plant</t>
  </si>
  <si>
    <t>SeattleWA</t>
  </si>
  <si>
    <t>Seattle Public Utilities</t>
  </si>
  <si>
    <t>West Point Treatment Plant</t>
  </si>
  <si>
    <t>SpokaneWA</t>
  </si>
  <si>
    <t>City of Spokane Water Department</t>
  </si>
  <si>
    <t>Riverside Park Water Reclamation Facility</t>
  </si>
  <si>
    <t>SyracuseNY</t>
  </si>
  <si>
    <t>Onondaga County Water Environment Protection</t>
  </si>
  <si>
    <t>Metro WWTP</t>
  </si>
  <si>
    <t>Wetzel Road WWTP</t>
  </si>
  <si>
    <t>TampaFL</t>
  </si>
  <si>
    <t>The City of Tampa's Wastewater Department</t>
  </si>
  <si>
    <t>Not specified - looked up and found Howard F. Curren Advanced Wastewater Treatment Plant (AWTP)</t>
  </si>
  <si>
    <t>TucsonAZ</t>
  </si>
  <si>
    <t>Pima County Regional Wastewater Reclamation Department</t>
  </si>
  <si>
    <t>Tres Rios</t>
  </si>
  <si>
    <t>MMBTU</t>
  </si>
  <si>
    <t>Roger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</si>
</sst>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 intercept not fixed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methane_gen_kgh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343984718704891"/>
                  <c:y val="-4.127922181770289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Sheet1!$M$2:$M$43</c:f>
              <c:numCache>
                <c:formatCode>General</c:formatCode>
                <c:ptCount val="42"/>
                <c:pt idx="0">
                  <c:v>125977.552632559</c:v>
                </c:pt>
                <c:pt idx="1">
                  <c:v>51609.311349545002</c:v>
                </c:pt>
                <c:pt idx="2">
                  <c:v>57048.327540599297</c:v>
                </c:pt>
                <c:pt idx="3">
                  <c:v>47207.704899999997</c:v>
                </c:pt>
                <c:pt idx="4">
                  <c:v>427296.45468690398</c:v>
                </c:pt>
                <c:pt idx="5">
                  <c:v>30220.2040743381</c:v>
                </c:pt>
                <c:pt idx="6">
                  <c:v>89792.863470057098</c:v>
                </c:pt>
                <c:pt idx="7">
                  <c:v>475561.504627591</c:v>
                </c:pt>
                <c:pt idx="8">
                  <c:v>135185.22550441301</c:v>
                </c:pt>
                <c:pt idx="9">
                  <c:v>108462.39026509201</c:v>
                </c:pt>
                <c:pt idx="10">
                  <c:v>71832.946200000006</c:v>
                </c:pt>
                <c:pt idx="11">
                  <c:v>24008.612248661899</c:v>
                </c:pt>
                <c:pt idx="12">
                  <c:v>157232.88034908101</c:v>
                </c:pt>
                <c:pt idx="13">
                  <c:v>45389.517827358199</c:v>
                </c:pt>
                <c:pt idx="14">
                  <c:v>177742.66577730799</c:v>
                </c:pt>
                <c:pt idx="15">
                  <c:v>5684.8404007702602</c:v>
                </c:pt>
                <c:pt idx="16">
                  <c:v>14215.358939289999</c:v>
                </c:pt>
                <c:pt idx="17">
                  <c:v>19989.6633116993</c:v>
                </c:pt>
                <c:pt idx="18">
                  <c:v>149204.177422079</c:v>
                </c:pt>
                <c:pt idx="19">
                  <c:v>89976.856400293706</c:v>
                </c:pt>
                <c:pt idx="20">
                  <c:v>8512.3023534349195</c:v>
                </c:pt>
                <c:pt idx="21">
                  <c:v>394820.31073671498</c:v>
                </c:pt>
                <c:pt idx="22">
                  <c:v>138702.69</c:v>
                </c:pt>
                <c:pt idx="23">
                  <c:v>138798.43209261799</c:v>
                </c:pt>
                <c:pt idx="24">
                  <c:v>301249.48200000002</c:v>
                </c:pt>
                <c:pt idx="25">
                  <c:v>592478.99996553897</c:v>
                </c:pt>
                <c:pt idx="26">
                  <c:v>306749.602793478</c:v>
                </c:pt>
                <c:pt idx="27">
                  <c:v>264709.91585133498</c:v>
                </c:pt>
                <c:pt idx="28">
                  <c:v>48547.9061</c:v>
                </c:pt>
                <c:pt idx="29">
                  <c:v>101151.58106798001</c:v>
                </c:pt>
                <c:pt idx="30">
                  <c:v>543324.49711754196</c:v>
                </c:pt>
                <c:pt idx="31">
                  <c:v>115063.796751633</c:v>
                </c:pt>
                <c:pt idx="32">
                  <c:v>556384.68523813295</c:v>
                </c:pt>
                <c:pt idx="33">
                  <c:v>405784.14576069103</c:v>
                </c:pt>
                <c:pt idx="34">
                  <c:v>21865.454825512399</c:v>
                </c:pt>
                <c:pt idx="35">
                  <c:v>386855.12183343398</c:v>
                </c:pt>
                <c:pt idx="36">
                  <c:v>127752.993508357</c:v>
                </c:pt>
                <c:pt idx="37">
                  <c:v>216529.69112133799</c:v>
                </c:pt>
                <c:pt idx="38">
                  <c:v>8940.29453501026</c:v>
                </c:pt>
                <c:pt idx="39">
                  <c:v>225656.05001690899</c:v>
                </c:pt>
                <c:pt idx="40">
                  <c:v>85022.830914563194</c:v>
                </c:pt>
                <c:pt idx="41">
                  <c:v>125256.793686636</c:v>
                </c:pt>
              </c:numCache>
            </c:numRef>
          </c:xVal>
          <c:yVal>
            <c:numRef>
              <c:f>Sheet1!$N$2:$N$43</c:f>
              <c:numCache>
                <c:formatCode>General</c:formatCode>
                <c:ptCount val="42"/>
                <c:pt idx="0">
                  <c:v>195.808257563306</c:v>
                </c:pt>
                <c:pt idx="1">
                  <c:v>84.655468989070997</c:v>
                </c:pt>
                <c:pt idx="2">
                  <c:v>122.076977821038</c:v>
                </c:pt>
                <c:pt idx="3">
                  <c:v>70.022853688524506</c:v>
                </c:pt>
                <c:pt idx="4">
                  <c:v>247.094526693989</c:v>
                </c:pt>
                <c:pt idx="5">
                  <c:v>24.303571584699402</c:v>
                </c:pt>
                <c:pt idx="6">
                  <c:v>99.894210928961698</c:v>
                </c:pt>
                <c:pt idx="7">
                  <c:v>1374.6496634079899</c:v>
                </c:pt>
                <c:pt idx="8">
                  <c:v>292.77915228196701</c:v>
                </c:pt>
                <c:pt idx="9">
                  <c:v>172.252815</c:v>
                </c:pt>
                <c:pt idx="10">
                  <c:v>111.62856965</c:v>
                </c:pt>
                <c:pt idx="11">
                  <c:v>42.1166883</c:v>
                </c:pt>
                <c:pt idx="12">
                  <c:v>225.98961503704899</c:v>
                </c:pt>
                <c:pt idx="13">
                  <c:v>72.839373877868795</c:v>
                </c:pt>
                <c:pt idx="14">
                  <c:v>404.379957991803</c:v>
                </c:pt>
                <c:pt idx="15">
                  <c:v>5.26377969071038</c:v>
                </c:pt>
                <c:pt idx="16">
                  <c:v>31.620915642759499</c:v>
                </c:pt>
                <c:pt idx="17">
                  <c:v>54.420785100000003</c:v>
                </c:pt>
                <c:pt idx="18">
                  <c:v>335.90163133743101</c:v>
                </c:pt>
                <c:pt idx="19">
                  <c:v>190.09871551062801</c:v>
                </c:pt>
                <c:pt idx="20">
                  <c:v>9.1783174544945307</c:v>
                </c:pt>
                <c:pt idx="21">
                  <c:v>589.35211956211697</c:v>
                </c:pt>
                <c:pt idx="22">
                  <c:v>470.35029837232202</c:v>
                </c:pt>
                <c:pt idx="23">
                  <c:v>470.19621857923403</c:v>
                </c:pt>
                <c:pt idx="24">
                  <c:v>480.61159836065502</c:v>
                </c:pt>
                <c:pt idx="25">
                  <c:v>279.45134153005398</c:v>
                </c:pt>
                <c:pt idx="26">
                  <c:v>188.54817281420699</c:v>
                </c:pt>
                <c:pt idx="27">
                  <c:v>142.764490437158</c:v>
                </c:pt>
                <c:pt idx="28">
                  <c:v>67.822435849999906</c:v>
                </c:pt>
                <c:pt idx="29">
                  <c:v>369.10843527538202</c:v>
                </c:pt>
                <c:pt idx="30">
                  <c:v>1495.7279999999901</c:v>
                </c:pt>
                <c:pt idx="31">
                  <c:v>155.02675402499901</c:v>
                </c:pt>
                <c:pt idx="32">
                  <c:v>327.09457633879703</c:v>
                </c:pt>
                <c:pt idx="33">
                  <c:v>674.83976612021797</c:v>
                </c:pt>
                <c:pt idx="34">
                  <c:v>32.1894690887978</c:v>
                </c:pt>
                <c:pt idx="35">
                  <c:v>746.36488345409805</c:v>
                </c:pt>
                <c:pt idx="36">
                  <c:v>300.621724120218</c:v>
                </c:pt>
                <c:pt idx="37">
                  <c:v>282.18952773756803</c:v>
                </c:pt>
                <c:pt idx="38">
                  <c:v>17.4110640131147</c:v>
                </c:pt>
                <c:pt idx="39">
                  <c:v>315.63653048292298</c:v>
                </c:pt>
                <c:pt idx="40">
                  <c:v>100.311612021857</c:v>
                </c:pt>
                <c:pt idx="41">
                  <c:v>26.438386065573699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B2-AB46-9B16-3CE27F849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290432"/>
        <c:axId val="549299392"/>
      </c:scatterChart>
      <c:valAx>
        <c:axId val="54929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299392"/>
        <c:crosses val="autoZero"/>
        <c:crossBetween val="midCat"/>
      </c:valAx>
      <c:valAx>
        <c:axId val="5492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290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 intercept fixed at origin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methane_gen_kgh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8343984718704891"/>
                  <c:y val="-4.127922181770289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Sheet1!$M$2:$M$43</c:f>
              <c:numCache>
                <c:formatCode>General</c:formatCode>
                <c:ptCount val="42"/>
                <c:pt idx="0">
                  <c:v>125977.552632559</c:v>
                </c:pt>
                <c:pt idx="1">
                  <c:v>51609.311349545002</c:v>
                </c:pt>
                <c:pt idx="2">
                  <c:v>57048.327540599297</c:v>
                </c:pt>
                <c:pt idx="3">
                  <c:v>47207.704899999997</c:v>
                </c:pt>
                <c:pt idx="4">
                  <c:v>427296.45468690398</c:v>
                </c:pt>
                <c:pt idx="5">
                  <c:v>30220.2040743381</c:v>
                </c:pt>
                <c:pt idx="6">
                  <c:v>89792.863470057098</c:v>
                </c:pt>
                <c:pt idx="7">
                  <c:v>475561.504627591</c:v>
                </c:pt>
                <c:pt idx="8">
                  <c:v>135185.22550441301</c:v>
                </c:pt>
                <c:pt idx="9">
                  <c:v>108462.39026509201</c:v>
                </c:pt>
                <c:pt idx="10">
                  <c:v>71832.946200000006</c:v>
                </c:pt>
                <c:pt idx="11">
                  <c:v>24008.612248661899</c:v>
                </c:pt>
                <c:pt idx="12">
                  <c:v>157232.88034908101</c:v>
                </c:pt>
                <c:pt idx="13">
                  <c:v>45389.517827358199</c:v>
                </c:pt>
                <c:pt idx="14">
                  <c:v>177742.66577730799</c:v>
                </c:pt>
                <c:pt idx="15">
                  <c:v>5684.8404007702602</c:v>
                </c:pt>
                <c:pt idx="16">
                  <c:v>14215.358939289999</c:v>
                </c:pt>
                <c:pt idx="17">
                  <c:v>19989.6633116993</c:v>
                </c:pt>
                <c:pt idx="18">
                  <c:v>149204.177422079</c:v>
                </c:pt>
                <c:pt idx="19">
                  <c:v>89976.856400293706</c:v>
                </c:pt>
                <c:pt idx="20">
                  <c:v>8512.3023534349195</c:v>
                </c:pt>
                <c:pt idx="21">
                  <c:v>394820.31073671498</c:v>
                </c:pt>
                <c:pt idx="22">
                  <c:v>138702.69</c:v>
                </c:pt>
                <c:pt idx="23">
                  <c:v>138798.43209261799</c:v>
                </c:pt>
                <c:pt idx="24">
                  <c:v>301249.48200000002</c:v>
                </c:pt>
                <c:pt idx="25">
                  <c:v>592478.99996553897</c:v>
                </c:pt>
                <c:pt idx="26">
                  <c:v>306749.602793478</c:v>
                </c:pt>
                <c:pt idx="27">
                  <c:v>264709.91585133498</c:v>
                </c:pt>
                <c:pt idx="28">
                  <c:v>48547.9061</c:v>
                </c:pt>
                <c:pt idx="29">
                  <c:v>101151.58106798001</c:v>
                </c:pt>
                <c:pt idx="30">
                  <c:v>543324.49711754196</c:v>
                </c:pt>
                <c:pt idx="31">
                  <c:v>115063.796751633</c:v>
                </c:pt>
                <c:pt idx="32">
                  <c:v>556384.68523813295</c:v>
                </c:pt>
                <c:pt idx="33">
                  <c:v>405784.14576069103</c:v>
                </c:pt>
                <c:pt idx="34">
                  <c:v>21865.454825512399</c:v>
                </c:pt>
                <c:pt idx="35">
                  <c:v>386855.12183343398</c:v>
                </c:pt>
                <c:pt idx="36">
                  <c:v>127752.993508357</c:v>
                </c:pt>
                <c:pt idx="37">
                  <c:v>216529.69112133799</c:v>
                </c:pt>
                <c:pt idx="38">
                  <c:v>8940.29453501026</c:v>
                </c:pt>
                <c:pt idx="39">
                  <c:v>225656.05001690899</c:v>
                </c:pt>
                <c:pt idx="40">
                  <c:v>85022.830914563194</c:v>
                </c:pt>
                <c:pt idx="41">
                  <c:v>125256.793686636</c:v>
                </c:pt>
              </c:numCache>
            </c:numRef>
          </c:xVal>
          <c:yVal>
            <c:numRef>
              <c:f>Sheet1!$N$2:$N$43</c:f>
              <c:numCache>
                <c:formatCode>General</c:formatCode>
                <c:ptCount val="42"/>
                <c:pt idx="0">
                  <c:v>195.808257563306</c:v>
                </c:pt>
                <c:pt idx="1">
                  <c:v>84.655468989070997</c:v>
                </c:pt>
                <c:pt idx="2">
                  <c:v>122.076977821038</c:v>
                </c:pt>
                <c:pt idx="3">
                  <c:v>70.022853688524506</c:v>
                </c:pt>
                <c:pt idx="4">
                  <c:v>247.094526693989</c:v>
                </c:pt>
                <c:pt idx="5">
                  <c:v>24.303571584699402</c:v>
                </c:pt>
                <c:pt idx="6">
                  <c:v>99.894210928961698</c:v>
                </c:pt>
                <c:pt idx="7">
                  <c:v>1374.6496634079899</c:v>
                </c:pt>
                <c:pt idx="8">
                  <c:v>292.77915228196701</c:v>
                </c:pt>
                <c:pt idx="9">
                  <c:v>172.252815</c:v>
                </c:pt>
                <c:pt idx="10">
                  <c:v>111.62856965</c:v>
                </c:pt>
                <c:pt idx="11">
                  <c:v>42.1166883</c:v>
                </c:pt>
                <c:pt idx="12">
                  <c:v>225.98961503704899</c:v>
                </c:pt>
                <c:pt idx="13">
                  <c:v>72.839373877868795</c:v>
                </c:pt>
                <c:pt idx="14">
                  <c:v>404.379957991803</c:v>
                </c:pt>
                <c:pt idx="15">
                  <c:v>5.26377969071038</c:v>
                </c:pt>
                <c:pt idx="16">
                  <c:v>31.620915642759499</c:v>
                </c:pt>
                <c:pt idx="17">
                  <c:v>54.420785100000003</c:v>
                </c:pt>
                <c:pt idx="18">
                  <c:v>335.90163133743101</c:v>
                </c:pt>
                <c:pt idx="19">
                  <c:v>190.09871551062801</c:v>
                </c:pt>
                <c:pt idx="20">
                  <c:v>9.1783174544945307</c:v>
                </c:pt>
                <c:pt idx="21">
                  <c:v>589.35211956211697</c:v>
                </c:pt>
                <c:pt idx="22">
                  <c:v>470.35029837232202</c:v>
                </c:pt>
                <c:pt idx="23">
                  <c:v>470.19621857923403</c:v>
                </c:pt>
                <c:pt idx="24">
                  <c:v>480.61159836065502</c:v>
                </c:pt>
                <c:pt idx="25">
                  <c:v>279.45134153005398</c:v>
                </c:pt>
                <c:pt idx="26">
                  <c:v>188.54817281420699</c:v>
                </c:pt>
                <c:pt idx="27">
                  <c:v>142.764490437158</c:v>
                </c:pt>
                <c:pt idx="28">
                  <c:v>67.822435849999906</c:v>
                </c:pt>
                <c:pt idx="29">
                  <c:v>369.10843527538202</c:v>
                </c:pt>
                <c:pt idx="30">
                  <c:v>1495.7279999999901</c:v>
                </c:pt>
                <c:pt idx="31">
                  <c:v>155.02675402499901</c:v>
                </c:pt>
                <c:pt idx="32">
                  <c:v>327.09457633879703</c:v>
                </c:pt>
                <c:pt idx="33">
                  <c:v>674.83976612021797</c:v>
                </c:pt>
                <c:pt idx="34">
                  <c:v>32.1894690887978</c:v>
                </c:pt>
                <c:pt idx="35">
                  <c:v>746.36488345409805</c:v>
                </c:pt>
                <c:pt idx="36">
                  <c:v>300.621724120218</c:v>
                </c:pt>
                <c:pt idx="37">
                  <c:v>282.18952773756803</c:v>
                </c:pt>
                <c:pt idx="38">
                  <c:v>17.4110640131147</c:v>
                </c:pt>
                <c:pt idx="39">
                  <c:v>315.63653048292298</c:v>
                </c:pt>
                <c:pt idx="40">
                  <c:v>100.311612021857</c:v>
                </c:pt>
                <c:pt idx="41">
                  <c:v>26.438386065573699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00-024A-A8AC-BA822C185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290432"/>
        <c:axId val="549299392"/>
      </c:scatterChart>
      <c:valAx>
        <c:axId val="54929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299392"/>
        <c:crosses val="autoZero"/>
        <c:crossBetween val="midCat"/>
      </c:valAx>
      <c:valAx>
        <c:axId val="5492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290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603250</xdr:colOff>
      <xdr:row>2</xdr:row>
      <xdr:rowOff>158750</xdr:rowOff>
    </xdr:from>
    <xdr:to>
      <xdr:col>21</xdr:col>
      <xdr:colOff>177800</xdr:colOff>
      <xdr:row>29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2DF846-675B-2A67-2517-9EABE339F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368300</xdr:colOff>
      <xdr:row>30</xdr:row>
      <xdr:rowOff>88900</xdr:rowOff>
    </xdr:from>
    <xdr:to>
      <xdr:col>21</xdr:col>
      <xdr:colOff>374650</xdr:colOff>
      <xdr:row>56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4C3E44-6461-9E40-879B-92C0402757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7914E-1EA8-C244-9844-855B0780F55C}">
  <dimension ref="A1:N43"/>
  <sheetViews>
    <sheetView tabSelected="1" workbookViewId="0">
      <selection activeCell="H10" sqref="H10"/>
    </sheetView>
  </sheetViews>
  <sheetFormatPr baseColWidth="10" defaultRowHeight="16" x14ac:dyDescent="0.2"/>
  <cols>
    <col min="9" max="9" width="13.1640625" bestFit="1" customWidth="1"/>
    <col min="10" max="10" width="15.5" bestFit="1" customWidth="1"/>
    <col min="14" max="14" width="15.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M1" s="2" t="s">
        <v>7</v>
      </c>
      <c r="N1" s="2" t="s">
        <v>9</v>
      </c>
    </row>
    <row r="2" spans="1:14" x14ac:dyDescent="0.2">
      <c r="A2" s="1" t="s">
        <v>10</v>
      </c>
      <c r="B2" s="1" t="s">
        <v>11</v>
      </c>
      <c r="C2" s="1" t="s">
        <v>12</v>
      </c>
      <c r="D2" s="1">
        <v>12180.388000000001</v>
      </c>
      <c r="E2" s="1">
        <v>33.279748599999998</v>
      </c>
      <c r="F2" s="1">
        <v>137991.378</v>
      </c>
      <c r="G2" s="1" t="s">
        <v>13</v>
      </c>
      <c r="H2" s="2">
        <v>125977.552632559</v>
      </c>
      <c r="I2" s="1">
        <v>137991378.19999999</v>
      </c>
      <c r="J2" s="2">
        <v>195.808257563306</v>
      </c>
      <c r="M2" s="2">
        <v>125977.552632559</v>
      </c>
      <c r="N2" s="2">
        <v>195.808257563306</v>
      </c>
    </row>
    <row r="3" spans="1:14" x14ac:dyDescent="0.2">
      <c r="A3" s="1" t="s">
        <v>14</v>
      </c>
      <c r="B3" s="1" t="s">
        <v>12</v>
      </c>
      <c r="C3" s="1" t="s">
        <v>15</v>
      </c>
      <c r="D3" s="1">
        <v>4989.9480000000003</v>
      </c>
      <c r="E3" s="1">
        <v>13.633737699999999</v>
      </c>
      <c r="F3" s="1">
        <v>59659000</v>
      </c>
      <c r="G3" s="1" t="s">
        <v>16</v>
      </c>
      <c r="H3" s="2">
        <v>51609.311349545002</v>
      </c>
      <c r="I3" s="1">
        <v>59659000</v>
      </c>
      <c r="J3" s="2">
        <v>84.655468989070997</v>
      </c>
      <c r="M3" s="2">
        <v>51609.311349545002</v>
      </c>
      <c r="N3" s="2">
        <v>84.655468989070997</v>
      </c>
    </row>
    <row r="4" spans="1:14" x14ac:dyDescent="0.2">
      <c r="A4" s="1" t="s">
        <v>17</v>
      </c>
      <c r="B4" s="1" t="s">
        <v>18</v>
      </c>
      <c r="C4" s="1" t="s">
        <v>19</v>
      </c>
      <c r="D4" s="1">
        <v>5515.83</v>
      </c>
      <c r="E4" s="1">
        <v>15.0705738</v>
      </c>
      <c r="F4" s="1">
        <v>86030950</v>
      </c>
      <c r="G4" s="1" t="s">
        <v>16</v>
      </c>
      <c r="H4" s="2">
        <v>57048.327540599297</v>
      </c>
      <c r="I4" s="1">
        <v>86030950</v>
      </c>
      <c r="J4" s="2">
        <v>122.076977821038</v>
      </c>
      <c r="M4" s="2">
        <v>57048.327540599297</v>
      </c>
      <c r="N4" s="2">
        <v>122.076977821038</v>
      </c>
    </row>
    <row r="5" spans="1:14" x14ac:dyDescent="0.2">
      <c r="A5" s="1" t="s">
        <v>17</v>
      </c>
      <c r="B5" s="1" t="s">
        <v>18</v>
      </c>
      <c r="C5" s="1" t="s">
        <v>20</v>
      </c>
      <c r="D5" s="1">
        <v>4564.37</v>
      </c>
      <c r="E5" s="1">
        <v>12.470956299999999</v>
      </c>
      <c r="F5" s="1">
        <v>49347000</v>
      </c>
      <c r="G5" s="1" t="s">
        <v>16</v>
      </c>
      <c r="H5" s="2">
        <v>47207.704899999997</v>
      </c>
      <c r="I5" s="1">
        <v>49347000</v>
      </c>
      <c r="J5" s="2">
        <v>70.022853688524506</v>
      </c>
      <c r="M5" s="2">
        <v>47207.704899999997</v>
      </c>
      <c r="N5" s="2">
        <v>70.022853688524506</v>
      </c>
    </row>
    <row r="6" spans="1:14" x14ac:dyDescent="0.2">
      <c r="A6" s="1" t="s">
        <v>21</v>
      </c>
      <c r="B6" s="1" t="s">
        <v>22</v>
      </c>
      <c r="C6" s="1" t="s">
        <v>12</v>
      </c>
      <c r="D6" s="1">
        <v>41314</v>
      </c>
      <c r="E6" s="1">
        <v>112.87978099999999</v>
      </c>
      <c r="F6" s="1">
        <v>174134200</v>
      </c>
      <c r="G6" s="1" t="s">
        <v>16</v>
      </c>
      <c r="H6" s="2">
        <v>427296.45468690398</v>
      </c>
      <c r="I6" s="1">
        <v>174134200</v>
      </c>
      <c r="J6" s="2">
        <v>247.094526693989</v>
      </c>
      <c r="M6" s="2">
        <v>427296.45468690398</v>
      </c>
      <c r="N6" s="2">
        <v>247.094526693989</v>
      </c>
    </row>
    <row r="7" spans="1:14" x14ac:dyDescent="0.2">
      <c r="A7" s="1" t="s">
        <v>23</v>
      </c>
      <c r="B7" s="1" t="s">
        <v>24</v>
      </c>
      <c r="C7" s="1" t="s">
        <v>25</v>
      </c>
      <c r="D7" s="1">
        <v>2921.9</v>
      </c>
      <c r="E7" s="1">
        <v>7.9833333299999998</v>
      </c>
      <c r="F7" s="1">
        <v>111328</v>
      </c>
      <c r="G7" s="1" t="s">
        <v>26</v>
      </c>
      <c r="H7" s="2">
        <v>30220.2040743381</v>
      </c>
      <c r="I7" s="1">
        <v>17127384.615384601</v>
      </c>
      <c r="J7" s="2">
        <v>24.303571584699402</v>
      </c>
      <c r="M7" s="2">
        <v>30220.2040743381</v>
      </c>
      <c r="N7" s="2">
        <v>24.303571584699402</v>
      </c>
    </row>
    <row r="8" spans="1:14" x14ac:dyDescent="0.2">
      <c r="A8" s="1" t="s">
        <v>23</v>
      </c>
      <c r="B8" s="1" t="s">
        <v>24</v>
      </c>
      <c r="C8" s="1" t="s">
        <v>27</v>
      </c>
      <c r="D8" s="1">
        <v>8681.7999999999993</v>
      </c>
      <c r="E8" s="1">
        <v>23.720765</v>
      </c>
      <c r="F8" s="1">
        <v>457588</v>
      </c>
      <c r="G8" s="1" t="s">
        <v>26</v>
      </c>
      <c r="H8" s="2">
        <v>89792.863470057098</v>
      </c>
      <c r="I8" s="1">
        <v>70398153.846153796</v>
      </c>
      <c r="J8" s="2">
        <v>99.894210928961698</v>
      </c>
      <c r="M8" s="2">
        <v>89792.863470057098</v>
      </c>
      <c r="N8" s="2">
        <v>99.894210928961698</v>
      </c>
    </row>
    <row r="9" spans="1:14" x14ac:dyDescent="0.2">
      <c r="A9" s="1" t="s">
        <v>28</v>
      </c>
      <c r="B9" s="1" t="s">
        <v>29</v>
      </c>
      <c r="C9" s="1" t="s">
        <v>30</v>
      </c>
      <c r="D9" s="1">
        <v>45980.601499999997</v>
      </c>
      <c r="E9" s="1">
        <v>125.630059</v>
      </c>
      <c r="F9" s="1">
        <v>968752.82</v>
      </c>
      <c r="G9" s="1" t="s">
        <v>13</v>
      </c>
      <c r="H9" s="2">
        <v>475561.504627591</v>
      </c>
      <c r="I9" s="1">
        <v>968752820</v>
      </c>
      <c r="J9" s="2">
        <v>1374.6496634079899</v>
      </c>
      <c r="M9" s="2">
        <v>475561.504627591</v>
      </c>
      <c r="N9" s="2">
        <v>1374.6496634079899</v>
      </c>
    </row>
    <row r="10" spans="1:14" x14ac:dyDescent="0.2">
      <c r="A10" s="1" t="s">
        <v>31</v>
      </c>
      <c r="B10" s="1" t="s">
        <v>32</v>
      </c>
      <c r="C10" s="1" t="s">
        <v>33</v>
      </c>
      <c r="D10" s="1">
        <v>13070.65</v>
      </c>
      <c r="E10" s="1">
        <v>35.712158500000001</v>
      </c>
      <c r="F10" s="1">
        <v>206329392</v>
      </c>
      <c r="G10" s="1" t="s">
        <v>16</v>
      </c>
      <c r="H10" s="2">
        <v>135185.22550441301</v>
      </c>
      <c r="I10" s="1">
        <v>206329392</v>
      </c>
      <c r="J10" s="2">
        <v>292.77915228196701</v>
      </c>
      <c r="M10" s="2">
        <v>135185.22550441301</v>
      </c>
      <c r="N10" s="2">
        <v>292.77915228196701</v>
      </c>
    </row>
    <row r="11" spans="1:14" x14ac:dyDescent="0.2">
      <c r="A11" s="1" t="s">
        <v>34</v>
      </c>
      <c r="B11" s="1" t="s">
        <v>35</v>
      </c>
      <c r="C11" s="1" t="s">
        <v>36</v>
      </c>
      <c r="D11" s="1">
        <v>10486.9</v>
      </c>
      <c r="E11" s="1">
        <v>28.652732199999999</v>
      </c>
      <c r="F11" s="1">
        <v>121391220</v>
      </c>
      <c r="G11" s="1" t="s">
        <v>16</v>
      </c>
      <c r="H11" s="2">
        <v>108462.39026509201</v>
      </c>
      <c r="I11" s="1">
        <v>121391220</v>
      </c>
      <c r="J11" s="2">
        <v>172.252815</v>
      </c>
      <c r="M11" s="2">
        <v>108462.39026509201</v>
      </c>
      <c r="N11" s="2">
        <v>172.252815</v>
      </c>
    </row>
    <row r="12" spans="1:14" x14ac:dyDescent="0.2">
      <c r="A12" s="1" t="s">
        <v>34</v>
      </c>
      <c r="B12" s="1" t="s">
        <v>35</v>
      </c>
      <c r="C12" s="1" t="s">
        <v>37</v>
      </c>
      <c r="D12" s="1">
        <v>6945.31</v>
      </c>
      <c r="E12" s="1">
        <v>18.976256800000002</v>
      </c>
      <c r="F12" s="1">
        <v>78667674</v>
      </c>
      <c r="G12" s="1" t="s">
        <v>16</v>
      </c>
      <c r="H12" s="2">
        <v>71832.946200000006</v>
      </c>
      <c r="I12" s="1">
        <v>78667674</v>
      </c>
      <c r="J12" s="2">
        <v>111.62856965</v>
      </c>
      <c r="M12" s="2">
        <v>71832.946200000006</v>
      </c>
      <c r="N12" s="2">
        <v>111.62856965</v>
      </c>
    </row>
    <row r="13" spans="1:14" x14ac:dyDescent="0.2">
      <c r="A13" s="1" t="s">
        <v>34</v>
      </c>
      <c r="B13" s="1" t="s">
        <v>35</v>
      </c>
      <c r="C13" s="1" t="s">
        <v>38</v>
      </c>
      <c r="D13" s="1">
        <v>2321.3200000000002</v>
      </c>
      <c r="E13" s="1">
        <v>6.3424043699999997</v>
      </c>
      <c r="F13" s="1">
        <v>29680770</v>
      </c>
      <c r="G13" s="1" t="s">
        <v>16</v>
      </c>
      <c r="H13" s="2">
        <v>24008.612248661899</v>
      </c>
      <c r="I13" s="1">
        <v>29680770</v>
      </c>
      <c r="J13" s="2">
        <v>42.1166883</v>
      </c>
      <c r="M13" s="2">
        <v>24008.612248661899</v>
      </c>
      <c r="N13" s="2">
        <v>42.1166883</v>
      </c>
    </row>
    <row r="14" spans="1:14" x14ac:dyDescent="0.2">
      <c r="A14" s="1" t="s">
        <v>39</v>
      </c>
      <c r="B14" s="1" t="s">
        <v>40</v>
      </c>
      <c r="C14" s="1" t="s">
        <v>41</v>
      </c>
      <c r="D14" s="1">
        <v>15202.370999999999</v>
      </c>
      <c r="E14" s="1">
        <v>41.536532700000002</v>
      </c>
      <c r="F14" s="1">
        <v>159260998</v>
      </c>
      <c r="G14" s="1" t="s">
        <v>16</v>
      </c>
      <c r="H14" s="2">
        <v>157232.88034908101</v>
      </c>
      <c r="I14" s="1">
        <v>159260998</v>
      </c>
      <c r="J14" s="2">
        <v>225.98961503704899</v>
      </c>
      <c r="M14" s="2">
        <v>157232.88034908101</v>
      </c>
      <c r="N14" s="2">
        <v>225.98961503704899</v>
      </c>
    </row>
    <row r="15" spans="1:14" x14ac:dyDescent="0.2">
      <c r="A15" s="1" t="s">
        <v>42</v>
      </c>
      <c r="B15" s="1" t="s">
        <v>43</v>
      </c>
      <c r="C15" s="1" t="s">
        <v>44</v>
      </c>
      <c r="D15" s="1">
        <v>4388.5749999999998</v>
      </c>
      <c r="E15" s="1">
        <v>11.990642100000001</v>
      </c>
      <c r="F15" s="1">
        <v>51331878</v>
      </c>
      <c r="G15" s="1" t="s">
        <v>16</v>
      </c>
      <c r="H15" s="2">
        <v>45389.517827358199</v>
      </c>
      <c r="I15" s="1">
        <v>51331878</v>
      </c>
      <c r="J15" s="2">
        <v>72.839373877868795</v>
      </c>
      <c r="M15" s="2">
        <v>45389.517827358199</v>
      </c>
      <c r="N15" s="2">
        <v>72.839373877868795</v>
      </c>
    </row>
    <row r="16" spans="1:14" x14ac:dyDescent="0.2">
      <c r="A16" s="1" t="s">
        <v>45</v>
      </c>
      <c r="B16" s="1" t="s">
        <v>46</v>
      </c>
      <c r="C16" s="1" t="s">
        <v>47</v>
      </c>
      <c r="D16" s="1">
        <v>17185.400000000001</v>
      </c>
      <c r="E16" s="1">
        <v>46.954644799999997</v>
      </c>
      <c r="F16" s="1">
        <v>284977.5</v>
      </c>
      <c r="G16" s="1" t="s">
        <v>13</v>
      </c>
      <c r="H16" s="2">
        <v>177742.66577730799</v>
      </c>
      <c r="I16" s="1">
        <v>284977500</v>
      </c>
      <c r="J16" s="2">
        <v>404.379957991803</v>
      </c>
      <c r="M16" s="2">
        <v>177742.66577730799</v>
      </c>
      <c r="N16" s="2">
        <v>404.379957991803</v>
      </c>
    </row>
    <row r="17" spans="1:14" x14ac:dyDescent="0.2">
      <c r="A17" s="1" t="s">
        <v>48</v>
      </c>
      <c r="B17" s="1" t="s">
        <v>49</v>
      </c>
      <c r="C17" s="1" t="s">
        <v>50</v>
      </c>
      <c r="D17" s="1">
        <v>549.65</v>
      </c>
      <c r="E17" s="1">
        <v>1.50177596</v>
      </c>
      <c r="F17" s="1">
        <v>3709528</v>
      </c>
      <c r="G17" s="1" t="s">
        <v>16</v>
      </c>
      <c r="H17" s="2">
        <v>5684.8404007702602</v>
      </c>
      <c r="I17" s="1">
        <v>3709528</v>
      </c>
      <c r="J17" s="2">
        <v>5.26377969071038</v>
      </c>
      <c r="M17" s="2">
        <v>5684.8404007702602</v>
      </c>
      <c r="N17" s="2">
        <v>5.26377969071038</v>
      </c>
    </row>
    <row r="18" spans="1:14" x14ac:dyDescent="0.2">
      <c r="A18" s="1" t="s">
        <v>48</v>
      </c>
      <c r="B18" s="1" t="s">
        <v>49</v>
      </c>
      <c r="C18" s="1" t="s">
        <v>51</v>
      </c>
      <c r="D18" s="1">
        <v>1374.44</v>
      </c>
      <c r="E18" s="1">
        <v>3.7553005499999998</v>
      </c>
      <c r="F18" s="1">
        <v>22284115</v>
      </c>
      <c r="G18" s="1" t="s">
        <v>16</v>
      </c>
      <c r="H18" s="2">
        <v>14215.358939289999</v>
      </c>
      <c r="I18" s="1">
        <v>22284115</v>
      </c>
      <c r="J18" s="2">
        <v>31.620915642759499</v>
      </c>
      <c r="M18" s="2">
        <v>14215.358939289999</v>
      </c>
      <c r="N18" s="2">
        <v>31.620915642759499</v>
      </c>
    </row>
    <row r="19" spans="1:14" x14ac:dyDescent="0.2">
      <c r="A19" s="1" t="s">
        <v>48</v>
      </c>
      <c r="B19" s="1" t="s">
        <v>49</v>
      </c>
      <c r="C19" s="1" t="s">
        <v>52</v>
      </c>
      <c r="D19" s="1">
        <v>1932.74</v>
      </c>
      <c r="E19" s="1">
        <v>5.2807103800000004</v>
      </c>
      <c r="F19" s="1">
        <v>38351800</v>
      </c>
      <c r="G19" s="1" t="s">
        <v>16</v>
      </c>
      <c r="H19" s="2">
        <v>19989.6633116993</v>
      </c>
      <c r="I19" s="1">
        <v>38351800</v>
      </c>
      <c r="J19" s="2">
        <v>54.420785100000003</v>
      </c>
      <c r="M19" s="2">
        <v>19989.6633116993</v>
      </c>
      <c r="N19" s="2">
        <v>54.420785100000003</v>
      </c>
    </row>
    <row r="20" spans="1:14" x14ac:dyDescent="0.2">
      <c r="A20" s="1" t="s">
        <v>53</v>
      </c>
      <c r="B20" s="1" t="s">
        <v>54</v>
      </c>
      <c r="C20" s="1" t="s">
        <v>55</v>
      </c>
      <c r="D20" s="1">
        <v>14426.1</v>
      </c>
      <c r="E20" s="1">
        <v>39.415573799999997</v>
      </c>
      <c r="F20" s="1">
        <v>236718970</v>
      </c>
      <c r="G20" s="1" t="s">
        <v>16</v>
      </c>
      <c r="H20" s="2">
        <v>149204.177422079</v>
      </c>
      <c r="I20" s="1">
        <v>236718970</v>
      </c>
      <c r="J20" s="2">
        <v>335.90163133743101</v>
      </c>
      <c r="M20" s="2">
        <v>149204.177422079</v>
      </c>
      <c r="N20" s="2">
        <v>335.90163133743101</v>
      </c>
    </row>
    <row r="21" spans="1:14" x14ac:dyDescent="0.2">
      <c r="A21" s="1" t="s">
        <v>56</v>
      </c>
      <c r="B21" s="1" t="s">
        <v>57</v>
      </c>
      <c r="C21" s="1" t="s">
        <v>58</v>
      </c>
      <c r="D21" s="1">
        <v>8699.5897199999999</v>
      </c>
      <c r="E21" s="1">
        <v>23.769370800000001</v>
      </c>
      <c r="F21" s="1">
        <v>133967709</v>
      </c>
      <c r="G21" s="1" t="s">
        <v>16</v>
      </c>
      <c r="H21" s="2">
        <v>89976.856400293706</v>
      </c>
      <c r="I21" s="1">
        <v>133967709</v>
      </c>
      <c r="J21" s="2">
        <v>190.09871551062801</v>
      </c>
      <c r="M21" s="2">
        <v>89976.856400293706</v>
      </c>
      <c r="N21" s="2">
        <v>190.09871551062801</v>
      </c>
    </row>
    <row r="22" spans="1:14" x14ac:dyDescent="0.2">
      <c r="A22" s="1" t="s">
        <v>56</v>
      </c>
      <c r="B22" s="1" t="s">
        <v>57</v>
      </c>
      <c r="C22" s="1" t="s">
        <v>59</v>
      </c>
      <c r="D22" s="1">
        <v>823.02873199999999</v>
      </c>
      <c r="E22" s="1">
        <v>2.2487123800000002</v>
      </c>
      <c r="F22" s="1">
        <v>6468208.7000000002</v>
      </c>
      <c r="G22" s="1" t="s">
        <v>16</v>
      </c>
      <c r="H22" s="2">
        <v>8512.3023534349195</v>
      </c>
      <c r="I22" s="1">
        <v>6468208.7000000002</v>
      </c>
      <c r="J22" s="2">
        <v>9.1783174544945307</v>
      </c>
      <c r="M22" s="2">
        <v>8512.3023534349195</v>
      </c>
      <c r="N22" s="2">
        <v>9.1783174544945307</v>
      </c>
    </row>
    <row r="23" spans="1:14" x14ac:dyDescent="0.2">
      <c r="A23" s="1" t="s">
        <v>60</v>
      </c>
      <c r="B23" s="1" t="s">
        <v>61</v>
      </c>
      <c r="C23" s="1" t="s">
        <v>62</v>
      </c>
      <c r="D23" s="1">
        <v>38173.980000000003</v>
      </c>
      <c r="E23" s="1">
        <v>104.30049200000001</v>
      </c>
      <c r="F23" s="1">
        <v>415332388</v>
      </c>
      <c r="G23" s="1" t="s">
        <v>16</v>
      </c>
      <c r="H23" s="2">
        <v>394820.31073671498</v>
      </c>
      <c r="I23" s="1">
        <v>415332388</v>
      </c>
      <c r="J23" s="2">
        <v>589.35211956211697</v>
      </c>
      <c r="M23" s="2">
        <v>394820.31073671498</v>
      </c>
      <c r="N23" s="2">
        <v>589.35211956211697</v>
      </c>
    </row>
    <row r="24" spans="1:14" x14ac:dyDescent="0.2">
      <c r="A24" s="1" t="s">
        <v>63</v>
      </c>
      <c r="B24" s="1" t="s">
        <v>64</v>
      </c>
      <c r="C24" s="1" t="s">
        <v>65</v>
      </c>
      <c r="D24" s="1">
        <v>13410.743</v>
      </c>
      <c r="E24" s="1">
        <v>36.641374300000003</v>
      </c>
      <c r="F24" s="1">
        <v>331468584</v>
      </c>
      <c r="G24" s="1" t="s">
        <v>16</v>
      </c>
      <c r="H24" s="2">
        <v>138702.69</v>
      </c>
      <c r="I24" s="1">
        <v>331468584</v>
      </c>
      <c r="J24" s="2">
        <v>470.35029837232202</v>
      </c>
      <c r="M24" s="2">
        <v>138702.69</v>
      </c>
      <c r="N24" s="2">
        <v>470.35029837232202</v>
      </c>
    </row>
    <row r="25" spans="1:14" x14ac:dyDescent="0.2">
      <c r="A25" s="1" t="s">
        <v>63</v>
      </c>
      <c r="B25" s="1" t="s">
        <v>66</v>
      </c>
      <c r="C25" s="1" t="s">
        <v>67</v>
      </c>
      <c r="D25" s="1">
        <v>13420</v>
      </c>
      <c r="E25" s="1">
        <v>36.6666667</v>
      </c>
      <c r="F25" s="1">
        <v>331.36</v>
      </c>
      <c r="G25" s="1" t="s">
        <v>68</v>
      </c>
      <c r="H25" s="2">
        <v>138798.43209261799</v>
      </c>
      <c r="I25" s="1">
        <v>331360000</v>
      </c>
      <c r="J25" s="2">
        <v>470.19621857923403</v>
      </c>
      <c r="M25" s="2">
        <v>138798.43209261799</v>
      </c>
      <c r="N25" s="2">
        <v>470.19621857923403</v>
      </c>
    </row>
    <row r="26" spans="1:14" x14ac:dyDescent="0.2">
      <c r="A26" s="1" t="s">
        <v>69</v>
      </c>
      <c r="B26" s="1" t="s">
        <v>70</v>
      </c>
      <c r="C26" s="1" t="s">
        <v>71</v>
      </c>
      <c r="D26" s="1">
        <v>29126.9</v>
      </c>
      <c r="E26" s="1">
        <v>79.581693999999999</v>
      </c>
      <c r="F26" s="1">
        <v>338700000</v>
      </c>
      <c r="G26" s="1" t="s">
        <v>16</v>
      </c>
      <c r="H26" s="2">
        <v>301249.48200000002</v>
      </c>
      <c r="I26" s="1">
        <v>338700000</v>
      </c>
      <c r="J26" s="2">
        <v>480.61159836065502</v>
      </c>
      <c r="M26" s="2">
        <v>301249.48200000002</v>
      </c>
      <c r="N26" s="2">
        <v>480.61159836065502</v>
      </c>
    </row>
    <row r="27" spans="1:14" x14ac:dyDescent="0.2">
      <c r="A27" s="1" t="s">
        <v>72</v>
      </c>
      <c r="B27" s="1" t="s">
        <v>73</v>
      </c>
      <c r="C27" s="1" t="s">
        <v>74</v>
      </c>
      <c r="D27" s="1">
        <v>57285</v>
      </c>
      <c r="E27" s="1">
        <v>156.51639299999999</v>
      </c>
      <c r="F27" s="1">
        <v>128009</v>
      </c>
      <c r="G27" s="1" t="s">
        <v>75</v>
      </c>
      <c r="H27" s="2">
        <v>592478.99996553897</v>
      </c>
      <c r="I27" s="1">
        <v>196936923.07692301</v>
      </c>
      <c r="J27" s="2">
        <v>279.45134153005398</v>
      </c>
      <c r="M27" s="2">
        <v>592478.99996553897</v>
      </c>
      <c r="N27" s="2">
        <v>279.45134153005398</v>
      </c>
    </row>
    <row r="28" spans="1:14" x14ac:dyDescent="0.2">
      <c r="A28" s="1" t="s">
        <v>76</v>
      </c>
      <c r="B28" s="1" t="s">
        <v>77</v>
      </c>
      <c r="C28" s="1" t="s">
        <v>78</v>
      </c>
      <c r="D28" s="1">
        <v>29658.69</v>
      </c>
      <c r="E28" s="1">
        <v>81.034672099999995</v>
      </c>
      <c r="F28" s="1">
        <v>132.875</v>
      </c>
      <c r="G28" s="1" t="s">
        <v>68</v>
      </c>
      <c r="H28" s="2">
        <v>306749.602793478</v>
      </c>
      <c r="I28" s="1">
        <v>132875000</v>
      </c>
      <c r="J28" s="2">
        <v>188.54817281420699</v>
      </c>
      <c r="M28" s="2">
        <v>306749.602793478</v>
      </c>
      <c r="N28" s="2">
        <v>188.54817281420699</v>
      </c>
    </row>
    <row r="29" spans="1:14" x14ac:dyDescent="0.2">
      <c r="A29" s="1" t="s">
        <v>79</v>
      </c>
      <c r="B29" s="1" t="s">
        <v>80</v>
      </c>
      <c r="C29" s="1" t="s">
        <v>81</v>
      </c>
      <c r="D29" s="1">
        <v>25594</v>
      </c>
      <c r="E29" s="1">
        <v>69.928961799999996</v>
      </c>
      <c r="F29" s="1">
        <v>100610</v>
      </c>
      <c r="G29" s="1" t="s">
        <v>13</v>
      </c>
      <c r="H29" s="2">
        <v>264709.91585133498</v>
      </c>
      <c r="I29" s="1">
        <v>100610000</v>
      </c>
      <c r="J29" s="2">
        <v>142.764490437158</v>
      </c>
      <c r="M29" s="2">
        <v>264709.91585133498</v>
      </c>
      <c r="N29" s="2">
        <v>142.764490437158</v>
      </c>
    </row>
    <row r="30" spans="1:14" x14ac:dyDescent="0.2">
      <c r="A30" s="1" t="s">
        <v>82</v>
      </c>
      <c r="B30" s="1" t="s">
        <v>83</v>
      </c>
      <c r="C30" s="1" t="s">
        <v>83</v>
      </c>
      <c r="D30" s="1">
        <v>4693.95</v>
      </c>
      <c r="E30" s="1">
        <v>12.824999999999999</v>
      </c>
      <c r="F30" s="1">
        <v>47796306</v>
      </c>
      <c r="G30" s="1" t="s">
        <v>16</v>
      </c>
      <c r="H30" s="2">
        <v>48547.9061</v>
      </c>
      <c r="I30" s="1">
        <v>47796306</v>
      </c>
      <c r="J30" s="2">
        <v>67.822435849999906</v>
      </c>
      <c r="M30" s="2">
        <v>48547.9061</v>
      </c>
      <c r="N30" s="2">
        <v>67.822435849999906</v>
      </c>
    </row>
    <row r="31" spans="1:14" x14ac:dyDescent="0.2">
      <c r="A31" s="1" t="s">
        <v>84</v>
      </c>
      <c r="B31" s="1" t="s">
        <v>85</v>
      </c>
      <c r="C31" s="1" t="s">
        <v>86</v>
      </c>
      <c r="D31" s="1">
        <v>9780.0400000000009</v>
      </c>
      <c r="E31" s="1">
        <v>26.721420800000001</v>
      </c>
      <c r="F31" s="1">
        <v>260120703</v>
      </c>
      <c r="G31" s="1" t="s">
        <v>16</v>
      </c>
      <c r="H31" s="2">
        <v>101151.58106798001</v>
      </c>
      <c r="I31" s="1">
        <v>260120703</v>
      </c>
      <c r="J31" s="2">
        <v>369.10843527538202</v>
      </c>
      <c r="M31" s="2">
        <v>101151.58106798001</v>
      </c>
      <c r="N31" s="2">
        <v>369.10843527538202</v>
      </c>
    </row>
    <row r="32" spans="1:14" x14ac:dyDescent="0.2">
      <c r="A32" s="1" t="s">
        <v>87</v>
      </c>
      <c r="B32" s="1" t="s">
        <v>83</v>
      </c>
      <c r="C32" s="1" t="s">
        <v>88</v>
      </c>
      <c r="D32" s="1">
        <v>52532.4</v>
      </c>
      <c r="E32" s="1">
        <v>143.531148</v>
      </c>
      <c r="F32" s="1">
        <v>2000</v>
      </c>
      <c r="G32" s="1" t="s">
        <v>89</v>
      </c>
      <c r="H32" s="2">
        <v>543324.49711754196</v>
      </c>
      <c r="I32" s="1">
        <v>1054080000</v>
      </c>
      <c r="J32" s="2">
        <v>1495.7279999999901</v>
      </c>
      <c r="M32" s="2">
        <v>543324.49711754196</v>
      </c>
      <c r="N32" s="2">
        <v>1495.7279999999901</v>
      </c>
    </row>
    <row r="33" spans="1:14" x14ac:dyDescent="0.2">
      <c r="A33" s="1" t="s">
        <v>90</v>
      </c>
      <c r="B33" s="1" t="s">
        <v>91</v>
      </c>
      <c r="C33" s="1" t="s">
        <v>92</v>
      </c>
      <c r="D33" s="1">
        <v>11125.17</v>
      </c>
      <c r="E33" s="1">
        <v>30.3966393</v>
      </c>
      <c r="F33" s="1">
        <v>109251549</v>
      </c>
      <c r="G33" s="1" t="s">
        <v>16</v>
      </c>
      <c r="H33" s="2">
        <v>115063.796751633</v>
      </c>
      <c r="I33" s="1">
        <v>109251549</v>
      </c>
      <c r="J33" s="2">
        <v>155.02675402499901</v>
      </c>
      <c r="M33" s="2">
        <v>115063.796751633</v>
      </c>
      <c r="N33" s="2">
        <v>155.02675402499901</v>
      </c>
    </row>
    <row r="34" spans="1:14" x14ac:dyDescent="0.2">
      <c r="A34" s="1" t="s">
        <v>93</v>
      </c>
      <c r="B34" s="1" t="s">
        <v>94</v>
      </c>
      <c r="C34" s="1" t="s">
        <v>95</v>
      </c>
      <c r="D34" s="1">
        <v>53795.15</v>
      </c>
      <c r="E34" s="1">
        <v>146.98128399999999</v>
      </c>
      <c r="F34" s="1">
        <v>230512.4</v>
      </c>
      <c r="G34" s="1" t="s">
        <v>13</v>
      </c>
      <c r="H34" s="2">
        <v>556384.68523813295</v>
      </c>
      <c r="I34" s="1">
        <v>230512400</v>
      </c>
      <c r="J34" s="2">
        <v>327.09457633879703</v>
      </c>
      <c r="M34" s="2">
        <v>556384.68523813295</v>
      </c>
      <c r="N34" s="2">
        <v>327.09457633879703</v>
      </c>
    </row>
    <row r="35" spans="1:14" x14ac:dyDescent="0.2">
      <c r="A35" s="1" t="s">
        <v>96</v>
      </c>
      <c r="B35" s="1" t="s">
        <v>97</v>
      </c>
      <c r="C35" s="1" t="s">
        <v>98</v>
      </c>
      <c r="D35" s="1">
        <v>39234.04</v>
      </c>
      <c r="E35" s="1">
        <v>107.196831</v>
      </c>
      <c r="F35" s="1">
        <v>3091256</v>
      </c>
      <c r="G35" s="1" t="s">
        <v>26</v>
      </c>
      <c r="H35" s="2">
        <v>405784.14576069103</v>
      </c>
      <c r="I35" s="1">
        <v>475577846.15384603</v>
      </c>
      <c r="J35" s="2">
        <v>674.83976612021797</v>
      </c>
      <c r="M35" s="2">
        <v>405784.14576069103</v>
      </c>
      <c r="N35" s="2">
        <v>674.83976612021797</v>
      </c>
    </row>
    <row r="36" spans="1:14" x14ac:dyDescent="0.2">
      <c r="A36" s="1" t="s">
        <v>99</v>
      </c>
      <c r="B36" s="1" t="s">
        <v>100</v>
      </c>
      <c r="C36" s="1" t="s">
        <v>101</v>
      </c>
      <c r="D36" s="1">
        <v>2114.1046000000001</v>
      </c>
      <c r="E36" s="1">
        <v>5.7762420800000003</v>
      </c>
      <c r="F36" s="1">
        <v>22684790</v>
      </c>
      <c r="G36" s="1" t="s">
        <v>16</v>
      </c>
      <c r="H36" s="2">
        <v>21865.454825512399</v>
      </c>
      <c r="I36" s="1">
        <v>22684790</v>
      </c>
      <c r="J36" s="2">
        <v>32.1894690887978</v>
      </c>
      <c r="M36" s="2">
        <v>21865.454825512399</v>
      </c>
      <c r="N36" s="2">
        <v>32.1894690887978</v>
      </c>
    </row>
    <row r="37" spans="1:14" x14ac:dyDescent="0.2">
      <c r="A37" s="1" t="s">
        <v>102</v>
      </c>
      <c r="B37" s="1" t="s">
        <v>103</v>
      </c>
      <c r="C37" s="1" t="s">
        <v>104</v>
      </c>
      <c r="D37" s="1">
        <v>37403.85</v>
      </c>
      <c r="E37" s="1">
        <v>102.19631200000001</v>
      </c>
      <c r="F37" s="1">
        <v>525983532</v>
      </c>
      <c r="G37" s="1" t="s">
        <v>16</v>
      </c>
      <c r="H37" s="2">
        <v>386855.12183343398</v>
      </c>
      <c r="I37" s="1">
        <v>525983532</v>
      </c>
      <c r="J37" s="2">
        <v>746.36488345409805</v>
      </c>
      <c r="M37" s="2">
        <v>386855.12183343398</v>
      </c>
      <c r="N37" s="2">
        <v>746.36488345409805</v>
      </c>
    </row>
    <row r="38" spans="1:14" x14ac:dyDescent="0.2">
      <c r="A38" s="1" t="s">
        <v>105</v>
      </c>
      <c r="B38" s="1" t="s">
        <v>106</v>
      </c>
      <c r="C38" s="1" t="s">
        <v>107</v>
      </c>
      <c r="D38" s="1">
        <v>12352.05</v>
      </c>
      <c r="E38" s="1">
        <v>33.748770499999999</v>
      </c>
      <c r="F38" s="1">
        <v>1377065.72</v>
      </c>
      <c r="G38" s="1" t="s">
        <v>26</v>
      </c>
      <c r="H38" s="2">
        <v>127752.993508357</v>
      </c>
      <c r="I38" s="1">
        <v>211856264.61538401</v>
      </c>
      <c r="J38" s="2">
        <v>300.621724120218</v>
      </c>
      <c r="M38" s="2">
        <v>127752.993508357</v>
      </c>
      <c r="N38" s="2">
        <v>300.621724120218</v>
      </c>
    </row>
    <row r="39" spans="1:14" x14ac:dyDescent="0.2">
      <c r="A39" s="1" t="s">
        <v>108</v>
      </c>
      <c r="B39" s="1" t="s">
        <v>109</v>
      </c>
      <c r="C39" s="1" t="s">
        <v>110</v>
      </c>
      <c r="D39" s="1">
        <v>20935.599999999999</v>
      </c>
      <c r="E39" s="1">
        <v>57.201092899999999</v>
      </c>
      <c r="F39" s="1">
        <v>198866597</v>
      </c>
      <c r="G39" s="1" t="s">
        <v>16</v>
      </c>
      <c r="H39" s="2">
        <v>216529.69112133799</v>
      </c>
      <c r="I39" s="1">
        <v>198866597</v>
      </c>
      <c r="J39" s="2">
        <v>282.18952773756803</v>
      </c>
      <c r="M39" s="2">
        <v>216529.69112133799</v>
      </c>
      <c r="N39" s="2">
        <v>282.18952773756803</v>
      </c>
    </row>
    <row r="40" spans="1:14" x14ac:dyDescent="0.2">
      <c r="A40" s="1" t="s">
        <v>108</v>
      </c>
      <c r="B40" s="1" t="s">
        <v>109</v>
      </c>
      <c r="C40" s="1" t="s">
        <v>111</v>
      </c>
      <c r="D40" s="1">
        <v>864.41</v>
      </c>
      <c r="E40" s="1">
        <v>2.3617759600000001</v>
      </c>
      <c r="F40" s="1">
        <v>12270048</v>
      </c>
      <c r="G40" s="1" t="s">
        <v>16</v>
      </c>
      <c r="H40" s="2">
        <v>8940.29453501026</v>
      </c>
      <c r="I40" s="1">
        <v>12270048</v>
      </c>
      <c r="J40" s="2">
        <v>17.4110640131147</v>
      </c>
      <c r="M40" s="2">
        <v>8940.29453501026</v>
      </c>
      <c r="N40" s="2">
        <v>17.4110640131147</v>
      </c>
    </row>
    <row r="41" spans="1:14" x14ac:dyDescent="0.2">
      <c r="A41" s="1" t="s">
        <v>112</v>
      </c>
      <c r="B41" s="1" t="s">
        <v>113</v>
      </c>
      <c r="C41" s="1" t="s">
        <v>114</v>
      </c>
      <c r="D41" s="1">
        <v>21818</v>
      </c>
      <c r="E41" s="1">
        <v>59.612021900000002</v>
      </c>
      <c r="F41" s="1">
        <v>222437605</v>
      </c>
      <c r="G41" s="1" t="s">
        <v>16</v>
      </c>
      <c r="H41" s="2">
        <v>225656.05001690899</v>
      </c>
      <c r="I41" s="1">
        <v>222437605</v>
      </c>
      <c r="J41" s="2">
        <v>315.63653048292298</v>
      </c>
      <c r="M41" s="2">
        <v>225656.05001690899</v>
      </c>
      <c r="N41" s="2">
        <v>315.63653048292298</v>
      </c>
    </row>
    <row r="42" spans="1:14" x14ac:dyDescent="0.2">
      <c r="A42" s="1" t="s">
        <v>115</v>
      </c>
      <c r="B42" s="1" t="s">
        <v>116</v>
      </c>
      <c r="C42" s="1" t="s">
        <v>117</v>
      </c>
      <c r="D42" s="1">
        <v>8220.6</v>
      </c>
      <c r="E42" s="1">
        <v>22.4606557</v>
      </c>
      <c r="F42" s="1">
        <v>45950</v>
      </c>
      <c r="G42" s="1" t="s">
        <v>118</v>
      </c>
      <c r="H42" s="2">
        <v>85022.830914563194</v>
      </c>
      <c r="I42" s="1">
        <v>70692307.700000003</v>
      </c>
      <c r="J42" s="2">
        <v>100.311612021857</v>
      </c>
      <c r="M42" s="2">
        <v>85022.830914563194</v>
      </c>
      <c r="N42" s="2">
        <v>100.311612021857</v>
      </c>
    </row>
    <row r="43" spans="1:14" x14ac:dyDescent="0.2">
      <c r="A43" s="1" t="s">
        <v>115</v>
      </c>
      <c r="B43" s="1" t="s">
        <v>116</v>
      </c>
      <c r="C43" s="1" t="s">
        <v>119</v>
      </c>
      <c r="D43" s="1">
        <v>12110.7</v>
      </c>
      <c r="E43" s="1">
        <v>33.0893443</v>
      </c>
      <c r="F43" s="1">
        <v>12110.7</v>
      </c>
      <c r="G43" s="1" t="s">
        <v>118</v>
      </c>
      <c r="H43" s="2">
        <v>125256.793686636</v>
      </c>
      <c r="I43" s="1">
        <v>18631846.1538461</v>
      </c>
      <c r="J43" s="2">
        <v>26.438386065573699</v>
      </c>
      <c r="M43" s="2">
        <v>125256.793686636</v>
      </c>
      <c r="N43" s="2">
        <v>26.438386065573699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Abbadi, Sahar</dc:creator>
  <cp:lastModifiedBy>El Abbadi, Sahar</cp:lastModifiedBy>
  <dcterms:created xsi:type="dcterms:W3CDTF">2026-02-10T01:03:23Z</dcterms:created>
  <dcterms:modified xsi:type="dcterms:W3CDTF">2026-02-10T23:45:13Z</dcterms:modified>
</cp:coreProperties>
</file>