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r/Documents/methane_letter/01_raw_data/"/>
    </mc:Choice>
  </mc:AlternateContent>
  <xr:revisionPtr revIDLastSave="0" documentId="13_ncr:1_{86B6DFE6-B46D-804B-960E-83207A70DD52}" xr6:coauthVersionLast="47" xr6:coauthVersionMax="47" xr10:uidLastSave="{00000000-0000-0000-0000-000000000000}"/>
  <bookViews>
    <workbookView xWindow="-28820" yWindow="-4320" windowWidth="29080" windowHeight="21100" xr2:uid="{790ECDEF-C78D-8A4E-8813-EF69A3979B02}"/>
  </bookViews>
  <sheets>
    <sheet name="data" sheetId="1" r:id="rId1"/>
    <sheet name="read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2" i="1"/>
  <c r="F13" i="1"/>
</calcChain>
</file>

<file path=xl/sharedStrings.xml><?xml version="1.0" encoding="utf-8"?>
<sst xmlns="http://schemas.openxmlformats.org/spreadsheetml/2006/main" count="44" uniqueCount="22">
  <si>
    <t>WWTP</t>
  </si>
  <si>
    <t>unknown</t>
  </si>
  <si>
    <t xml:space="preserve">no biogas production </t>
  </si>
  <si>
    <t>ch4_Nm3_per_yr</t>
  </si>
  <si>
    <t>biogas_Nm3_per_yr</t>
  </si>
  <si>
    <t>flaring</t>
  </si>
  <si>
    <t>No sludge</t>
  </si>
  <si>
    <t>assumed_biogas_fraction</t>
  </si>
  <si>
    <t>measured_ch4_tons_per_year</t>
  </si>
  <si>
    <t>NA</t>
  </si>
  <si>
    <t>column</t>
  </si>
  <si>
    <t>notes</t>
  </si>
  <si>
    <t>facility ID, matching those assigned in the main text and Table 1</t>
  </si>
  <si>
    <t>values reported in Table 1, row CH4-M (t per year)</t>
  </si>
  <si>
    <t>biogas production as reported by author Magnus Galfalk in personal communications on Oct 11, 2025</t>
  </si>
  <si>
    <t>methane production as reported by author Magnus Galfalk in personal communications on Oct 11, 2025</t>
  </si>
  <si>
    <t>fraction of gas flared as reported by author Magnus Galfalk in personal communications on Oct 11, 2025</t>
  </si>
  <si>
    <t>calculation by Sahar El Abbadi, dividing ch4_Nm3_per_yr by biogas_Nm3_per_yr to determine assumptions in calculations</t>
  </si>
  <si>
    <t>has_ad</t>
  </si>
  <si>
    <t>yes</t>
  </si>
  <si>
    <t>no</t>
  </si>
  <si>
    <t xml:space="preserve">indicator for presence or absence of anaerobic digestion, as determined by Sahar El Abbadi, based on data availability in other columns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</si>
</sst>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DC10-6937-C94C-A14C-B9622A40938D}">
  <dimension ref="A1:G14"/>
  <sheetViews>
    <sheetView tabSelected="1" workbookViewId="0">
      <selection activeCell="G1" sqref="G1"/>
    </sheetView>
  </sheetViews>
  <sheetFormatPr baseColWidth="10" defaultRowHeight="16" x14ac:dyDescent="0.2"/>
  <cols>
    <col min="1" max="1" width="6.83203125" bestFit="1" customWidth="1"/>
    <col min="2" max="2" width="26.1640625" bestFit="1" customWidth="1"/>
    <col min="3" max="3" width="18.83203125" bestFit="1" customWidth="1"/>
    <col min="4" max="4" width="15.1640625" bestFit="1" customWidth="1"/>
    <col min="5" max="5" width="9.33203125" bestFit="1" customWidth="1"/>
    <col min="6" max="6" width="22.5" bestFit="1" customWidth="1"/>
  </cols>
  <sheetData>
    <row r="1" spans="1:7" x14ac:dyDescent="0.2">
      <c r="A1" t="s">
        <v>0</v>
      </c>
      <c r="B1" t="s">
        <v>8</v>
      </c>
      <c r="C1" t="s">
        <v>4</v>
      </c>
      <c r="D1" t="s">
        <v>3</v>
      </c>
      <c r="E1" t="s">
        <v>5</v>
      </c>
      <c r="F1" t="s">
        <v>7</v>
      </c>
      <c r="G1" t="s">
        <v>18</v>
      </c>
    </row>
    <row r="2" spans="1:7" x14ac:dyDescent="0.2">
      <c r="A2">
        <v>1</v>
      </c>
      <c r="B2">
        <v>3.68</v>
      </c>
      <c r="C2" t="s">
        <v>1</v>
      </c>
      <c r="D2" t="s">
        <v>1</v>
      </c>
      <c r="G2" t="s">
        <v>1</v>
      </c>
    </row>
    <row r="3" spans="1:7" x14ac:dyDescent="0.2">
      <c r="A3">
        <v>2</v>
      </c>
      <c r="B3">
        <v>12.45</v>
      </c>
      <c r="C3" s="1">
        <v>1000000</v>
      </c>
      <c r="D3">
        <v>650000</v>
      </c>
      <c r="E3" s="2">
        <v>0.4</v>
      </c>
      <c r="F3" s="3">
        <f>D3/C3</f>
        <v>0.65</v>
      </c>
      <c r="G3" t="s">
        <v>19</v>
      </c>
    </row>
    <row r="4" spans="1:7" x14ac:dyDescent="0.2">
      <c r="A4">
        <v>3</v>
      </c>
      <c r="B4">
        <v>47.09</v>
      </c>
      <c r="C4" s="1">
        <v>1260000</v>
      </c>
      <c r="D4">
        <v>820000</v>
      </c>
      <c r="F4" s="3">
        <f t="shared" ref="F4:F14" si="0">D4/C4</f>
        <v>0.65079365079365081</v>
      </c>
      <c r="G4" t="s">
        <v>19</v>
      </c>
    </row>
    <row r="5" spans="1:7" x14ac:dyDescent="0.2">
      <c r="A5">
        <v>4</v>
      </c>
      <c r="B5">
        <v>116.44</v>
      </c>
      <c r="C5" s="1">
        <v>3780000</v>
      </c>
      <c r="D5">
        <v>2457000</v>
      </c>
      <c r="F5" s="3">
        <f t="shared" si="0"/>
        <v>0.65</v>
      </c>
      <c r="G5" t="s">
        <v>19</v>
      </c>
    </row>
    <row r="6" spans="1:7" x14ac:dyDescent="0.2">
      <c r="A6">
        <v>5</v>
      </c>
      <c r="B6">
        <v>28.36</v>
      </c>
      <c r="C6" s="1">
        <v>1290000</v>
      </c>
      <c r="D6">
        <v>834000</v>
      </c>
      <c r="E6" s="2">
        <v>0.51200000000000001</v>
      </c>
      <c r="F6" s="3">
        <f t="shared" si="0"/>
        <v>0.64651162790697669</v>
      </c>
      <c r="G6" t="s">
        <v>19</v>
      </c>
    </row>
    <row r="7" spans="1:7" x14ac:dyDescent="0.2">
      <c r="A7">
        <v>6</v>
      </c>
      <c r="B7">
        <v>16.75</v>
      </c>
      <c r="C7" s="1">
        <v>1070000</v>
      </c>
      <c r="D7">
        <v>700000</v>
      </c>
      <c r="E7" s="2">
        <v>0.16</v>
      </c>
      <c r="F7" s="3">
        <f t="shared" si="0"/>
        <v>0.65420560747663548</v>
      </c>
      <c r="G7" t="s">
        <v>19</v>
      </c>
    </row>
    <row r="8" spans="1:7" x14ac:dyDescent="0.2">
      <c r="A8">
        <v>7</v>
      </c>
      <c r="B8">
        <v>43.07</v>
      </c>
      <c r="C8" s="1">
        <v>2900000</v>
      </c>
      <c r="D8">
        <v>1885000</v>
      </c>
      <c r="F8" s="3">
        <f t="shared" si="0"/>
        <v>0.65</v>
      </c>
      <c r="G8" t="s">
        <v>19</v>
      </c>
    </row>
    <row r="9" spans="1:7" x14ac:dyDescent="0.2">
      <c r="A9">
        <v>8</v>
      </c>
      <c r="B9">
        <v>76.650000000000006</v>
      </c>
      <c r="C9" s="1">
        <v>2000000</v>
      </c>
      <c r="D9">
        <v>1300000</v>
      </c>
      <c r="F9" s="3">
        <f t="shared" si="0"/>
        <v>0.65</v>
      </c>
      <c r="G9" t="s">
        <v>19</v>
      </c>
    </row>
    <row r="10" spans="1:7" x14ac:dyDescent="0.2">
      <c r="A10">
        <v>9</v>
      </c>
      <c r="B10">
        <v>471.03</v>
      </c>
      <c r="C10" s="1">
        <v>11681000</v>
      </c>
      <c r="D10">
        <v>7590000</v>
      </c>
      <c r="E10" s="2">
        <v>0.1</v>
      </c>
      <c r="F10" s="3">
        <f t="shared" si="0"/>
        <v>0.64977313586165564</v>
      </c>
      <c r="G10" t="s">
        <v>19</v>
      </c>
    </row>
    <row r="11" spans="1:7" x14ac:dyDescent="0.2">
      <c r="A11">
        <v>10</v>
      </c>
      <c r="B11">
        <v>62.43</v>
      </c>
      <c r="C11" t="s">
        <v>6</v>
      </c>
      <c r="D11" t="s">
        <v>6</v>
      </c>
      <c r="E11" t="s">
        <v>6</v>
      </c>
      <c r="F11" s="3" t="s">
        <v>9</v>
      </c>
      <c r="G11" t="s">
        <v>20</v>
      </c>
    </row>
    <row r="12" spans="1:7" x14ac:dyDescent="0.2">
      <c r="A12">
        <v>11</v>
      </c>
      <c r="B12">
        <v>20.52</v>
      </c>
      <c r="C12" s="1">
        <v>300000</v>
      </c>
      <c r="D12">
        <v>195000</v>
      </c>
      <c r="F12" s="3">
        <f t="shared" si="0"/>
        <v>0.65</v>
      </c>
      <c r="G12" t="s">
        <v>19</v>
      </c>
    </row>
    <row r="13" spans="1:7" x14ac:dyDescent="0.2">
      <c r="A13">
        <v>12</v>
      </c>
      <c r="B13">
        <v>144.07</v>
      </c>
      <c r="C13" s="1">
        <v>2700000</v>
      </c>
      <c r="D13" s="1">
        <v>1760000</v>
      </c>
      <c r="E13" s="2">
        <v>0.35</v>
      </c>
      <c r="F13" s="3">
        <f t="shared" si="0"/>
        <v>0.6518518518518519</v>
      </c>
      <c r="G13" t="s">
        <v>19</v>
      </c>
    </row>
    <row r="14" spans="1:7" x14ac:dyDescent="0.2">
      <c r="A14">
        <v>13</v>
      </c>
      <c r="B14">
        <v>319.05</v>
      </c>
      <c r="C14" t="s">
        <v>2</v>
      </c>
      <c r="F14" s="3" t="s">
        <v>9</v>
      </c>
      <c r="G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C390-4666-4444-B36C-BB8AA2C62711}">
  <dimension ref="A1:B8"/>
  <sheetViews>
    <sheetView workbookViewId="0">
      <selection activeCell="A9" sqref="A9"/>
    </sheetView>
  </sheetViews>
  <sheetFormatPr baseColWidth="10" defaultRowHeight="16" x14ac:dyDescent="0.2"/>
  <cols>
    <col min="1" max="1" width="26.1640625" bestFit="1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0</v>
      </c>
      <c r="B2" t="s">
        <v>12</v>
      </c>
    </row>
    <row r="3" spans="1:2" x14ac:dyDescent="0.2">
      <c r="A3" t="s">
        <v>8</v>
      </c>
      <c r="B3" t="s">
        <v>13</v>
      </c>
    </row>
    <row r="4" spans="1:2" x14ac:dyDescent="0.2">
      <c r="A4" t="s">
        <v>4</v>
      </c>
      <c r="B4" t="s">
        <v>14</v>
      </c>
    </row>
    <row r="5" spans="1:2" x14ac:dyDescent="0.2">
      <c r="A5" t="s">
        <v>3</v>
      </c>
      <c r="B5" t="s">
        <v>15</v>
      </c>
    </row>
    <row r="6" spans="1:2" x14ac:dyDescent="0.2">
      <c r="A6" t="s">
        <v>5</v>
      </c>
      <c r="B6" t="s">
        <v>16</v>
      </c>
    </row>
    <row r="7" spans="1:2" x14ac:dyDescent="0.2">
      <c r="A7" t="s">
        <v>7</v>
      </c>
      <c r="B7" t="s">
        <v>17</v>
      </c>
    </row>
    <row r="8" spans="1:2" x14ac:dyDescent="0.2">
      <c r="A8" t="s">
        <v>18</v>
      </c>
      <c r="B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El Abbadi</dc:creator>
  <cp:lastModifiedBy>Sahar El Abbadi</cp:lastModifiedBy>
  <dcterms:created xsi:type="dcterms:W3CDTF">2025-11-03T19:35:57Z</dcterms:created>
  <dcterms:modified xsi:type="dcterms:W3CDTF">2025-11-03T20:38:03Z</dcterms:modified>
</cp:coreProperties>
</file>